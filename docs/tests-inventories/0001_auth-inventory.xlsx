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2"/>
    <sheet name="Login" sheetId="2" state="visible" r:id="rId3"/>
    <sheet name="Register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<sst xmlns="http://schemas.openxmlformats.org/spreadsheetml/2006/main" count="172" uniqueCount="72">
  <si>
    <t xml:space="preserve">Name</t>
  </si>
  <si>
    <t xml:space="preserve">Happy paths</t>
  </si>
  <si>
    <t xml:space="preserve">Negative Paths</t>
  </si>
  <si>
    <t xml:space="preserve">Edge cases</t>
  </si>
  <si>
    <t xml:space="preserve">Global coverage</t>
  </si>
  <si>
    <t xml:space="preserve">Login</t>
  </si>
  <si>
    <t xml:space="preserve">Register</t>
  </si>
  <si>
    <t xml:space="preserve">TOTAL</t>
  </si>
  <si>
    <t xml:space="preserve">Spec ID</t>
  </si>
  <si>
    <t xml:space="preserve">Test ID</t>
  </si>
  <si>
    <t xml:space="preserve">Test name</t>
  </si>
  <si>
    <t xml:space="preserve">Coverage type (Happy / Negative / Edge)  </t>
  </si>
  <si>
    <t xml:space="preserve">Type (Smoke / Regression / Extended)  </t>
  </si>
  <si>
    <t xml:space="preserve">File</t>
  </si>
  <si>
    <t xml:space="preserve">Status (Missing / In progress / Done / Blocked)</t>
  </si>
  <si>
    <t xml:space="preserve">Notes</t>
  </si>
  <si>
    <t xml:space="preserve">AUTH-01</t>
  </si>
  <si>
    <t xml:space="preserve">AUTH-L-01</t>
  </si>
  <si>
    <t xml:space="preserve">Login user with valid credentials</t>
  </si>
  <si>
    <t xml:space="preserve">Happy</t>
  </si>
  <si>
    <t xml:space="preserve">Smoke</t>
  </si>
  <si>
    <t xml:space="preserve">login.spec.ts</t>
  </si>
  <si>
    <t xml:space="preserve">DONE</t>
  </si>
  <si>
    <t xml:space="preserve">AUTH-L-02</t>
  </si>
  <si>
    <t xml:space="preserve">User session persists after page refresh</t>
  </si>
  <si>
    <t xml:space="preserve">Regression</t>
  </si>
  <si>
    <t xml:space="preserve">AUTH-L-03</t>
  </si>
  <si>
    <t xml:space="preserve">Authenticated user cannot access login page</t>
  </si>
  <si>
    <t xml:space="preserve">AUTH-L-04</t>
  </si>
  <si>
    <t xml:space="preserve">Login fails with an error message when password is incorrect</t>
  </si>
  <si>
    <t xml:space="preserve">Negative</t>
  </si>
  <si>
    <t xml:space="preserve">AUTH-L-05</t>
  </si>
  <si>
    <t xml:space="preserve">Login fails with an error message when email does not exist</t>
  </si>
  <si>
    <t xml:space="preserve">AUTH-L-06</t>
  </si>
  <si>
    <t xml:space="preserve">Login fails with an error message when both email &amp; password are incorrect</t>
  </si>
  <si>
    <t xml:space="preserve">AUTH-L-07</t>
  </si>
  <si>
    <t xml:space="preserve">User is logged out when authentication token is expired</t>
  </si>
  <si>
    <t xml:space="preserve">Edge</t>
  </si>
  <si>
    <t xml:space="preserve">Extended</t>
  </si>
  <si>
    <t xml:space="preserve">Blocked</t>
  </si>
  <si>
    <t xml:space="preserve">App crash when token is expired</t>
  </si>
  <si>
    <t xml:space="preserve">AUTH-L-08</t>
  </si>
  <si>
    <t xml:space="preserve">Multiple rapid login attempts do not trigger multiple authentication requests</t>
  </si>
  <si>
    <t xml:space="preserve">AUTH-L-09</t>
  </si>
  <si>
    <t xml:space="preserve">Login successfully with special chars password</t>
  </si>
  <si>
    <t xml:space="preserve">AUTH-L-10</t>
  </si>
  <si>
    <t xml:space="preserve">Login successfully with spaces in password</t>
  </si>
  <si>
    <t xml:space="preserve">AUTH-02</t>
  </si>
  <si>
    <t xml:space="preserve">AUTH-R-0001</t>
  </si>
  <si>
    <t xml:space="preserve">Register with valid credentials login user</t>
  </si>
  <si>
    <t xml:space="preserve">register.spec.ts</t>
  </si>
  <si>
    <t xml:space="preserve">Done</t>
  </si>
  <si>
    <t xml:space="preserve">AUTH-R-1000</t>
  </si>
  <si>
    <t xml:space="preserve">Register fails with existing username</t>
  </si>
  <si>
    <t xml:space="preserve">AUTH-R-1001</t>
  </si>
  <si>
    <t xml:space="preserve">Register fails with existing email</t>
  </si>
  <si>
    <t xml:space="preserve">AUTH-R-1002</t>
  </si>
  <si>
    <t xml:space="preserve">Register fails with existing username &amp; email</t>
  </si>
  <si>
    <t xml:space="preserve">AUTH-R-1003</t>
  </si>
  <si>
    <t xml:space="preserve">Attempt to register without username</t>
  </si>
  <si>
    <t xml:space="preserve">AUTH-R-1004</t>
  </si>
  <si>
    <t xml:space="preserve">Attempt to register without email</t>
  </si>
  <si>
    <t xml:space="preserve">AUTH-R-1005</t>
  </si>
  <si>
    <t xml:space="preserve">Attempt to register without password</t>
  </si>
  <si>
    <t xml:space="preserve">AUTH-R-1006</t>
  </si>
  <si>
    <t xml:space="preserve">Authenticated user cannot access register page</t>
  </si>
  <si>
    <t xml:space="preserve">AUTH-R-2000</t>
  </si>
  <si>
    <t xml:space="preserve">Register with leading space in the username</t>
  </si>
  <si>
    <t xml:space="preserve">AUTH-R-2001</t>
  </si>
  <si>
    <t xml:space="preserve">Register with leading space in the email</t>
  </si>
  <si>
    <t xml:space="preserve">AUTH-R-2002</t>
  </si>
  <si>
    <t xml:space="preserve">Register with leading space in the password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</si>
</sst>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Noto Mono"/>
      <family val="0"/>
      <charset val="1"/>
    </font>
    <font>
      <b val="true"/>
      <sz val="14"/>
      <name val="Noto Mono"/>
      <family val="0"/>
      <charset val="1"/>
    </font>
    <font>
      <b val="true"/>
      <sz val="14"/>
      <name val="Noto Mono"/>
      <family val="0"/>
    </font>
    <font>
      <sz val="14"/>
      <name val="Noto Mono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5.69"/>
    <col collapsed="false" customWidth="true" hidden="false" outlineLevel="0" max="2" min="2" style="1" width="19.45"/>
    <col collapsed="false" customWidth="true" hidden="false" outlineLevel="0" max="3" min="3" style="1" width="22.79"/>
    <col collapsed="false" customWidth="true" hidden="false" outlineLevel="0" max="4" min="4" style="1" width="17.64"/>
    <col collapsed="false" customWidth="true" hidden="false" outlineLevel="0" max="5" min="5" style="1" width="25.14"/>
    <col collapsed="false" customWidth="false" hidden="false" outlineLevel="0" max="1024" min="6" style="1" width="11.52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17.35" hidden="false" customHeight="false" outlineLevel="0" collapsed="false">
      <c r="A2" s="1" t="s">
        <v>5</v>
      </c>
      <c r="B2" s="4" t="n">
        <f aca="false">COUNTIFS(Login!D2:D11,"*Happy*",Login!G2:G11,"*done*")/COUNTIF(Login!D2:D11,"*happy*")</f>
        <v>1</v>
      </c>
      <c r="C2" s="4" t="n">
        <f aca="false">COUNTIFS(Login!D2:D11,"*Negative*",Login!G2:G11,"*done*")/COUNTIF(Login!D2:D11,"*Negative*")</f>
        <v>1</v>
      </c>
      <c r="D2" s="5" t="n">
        <f aca="false">COUNTIFS(Login!D2:D11,"*Edge*",Login!G2:G11,"*done*")/COUNTIF(Login!D2:D11,"*Edge*")</f>
        <v>0.75</v>
      </c>
      <c r="E2" s="5" t="n">
        <f aca="false">AVERAGE(B2:D2)</f>
        <v>0.916666666666667</v>
      </c>
    </row>
    <row r="3" customFormat="false" ht="17.35" hidden="false" customHeight="false" outlineLevel="0" collapsed="false">
      <c r="A3" s="1" t="s">
        <v>6</v>
      </c>
      <c r="B3" s="4" t="n">
        <f aca="false">COUNTIFS(Register!D2:D14,"*Happy*",Register!G2:G14,"*done*")/COUNTIF(Register!D2:D14,"*happy*")</f>
        <v>1</v>
      </c>
      <c r="C3" s="4" t="n">
        <f aca="false">COUNTIFS(Register!D2:D14,"*Negative*",Register!G2:G14,"*done*")/COUNTIF(Register!D2:D14,"*Negative*")</f>
        <v>1</v>
      </c>
      <c r="D3" s="5" t="n">
        <f aca="false">COUNTIFS(Register!D2:D14,"*Edge*",Register!G2:G14,"*done*")/COUNTIF(Register!D2:D14,"*Edge*")</f>
        <v>1</v>
      </c>
      <c r="E3" s="5" t="n">
        <f aca="false">AVERAGE(B3:D3)</f>
        <v>1</v>
      </c>
    </row>
    <row r="4" customFormat="false" ht="17.35" hidden="false" customHeight="false" outlineLevel="0" collapsed="false">
      <c r="A4" s="2" t="s">
        <v>7</v>
      </c>
      <c r="B4" s="6" t="n">
        <f aca="false">AVERAGE(B2:B3)</f>
        <v>1</v>
      </c>
      <c r="C4" s="6" t="n">
        <f aca="false">AVERAGE(C2:C3)</f>
        <v>1</v>
      </c>
      <c r="D4" s="6" t="n">
        <f aca="false">AVERAGE(D2:D3)</f>
        <v>0.875</v>
      </c>
      <c r="E4" s="6" t="n">
        <f aca="false">AVERAGE(E2:E3)</f>
        <v>0.958333333333333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22.79"/>
    <col collapsed="false" customWidth="true" hidden="false" outlineLevel="0" max="2" min="2" style="1" width="22.09"/>
    <col collapsed="false" customWidth="true" hidden="false" outlineLevel="0" max="3" min="3" style="1" width="54.04"/>
    <col collapsed="false" customWidth="true" hidden="false" outlineLevel="0" max="4" min="4" style="1" width="23.88"/>
    <col collapsed="false" customWidth="true" hidden="false" outlineLevel="0" max="6" min="5" style="1" width="26.13"/>
    <col collapsed="false" customWidth="true" hidden="false" outlineLevel="0" max="7" min="7" style="1" width="15.42"/>
    <col collapsed="false" customWidth="false" hidden="false" outlineLevel="0" max="1018" min="8" style="1" width="11.52"/>
  </cols>
  <sheetData>
    <row r="1" customFormat="false" ht="17.35" hidden="false" customHeight="false" outlineLevel="0" collapsed="false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/>
      <c r="J1" s="2"/>
      <c r="K1" s="2"/>
      <c r="L1" s="2"/>
    </row>
    <row r="2" customFormat="false" ht="18.65" hidden="false" customHeight="false" outlineLevel="0" collapsed="false">
      <c r="A2" s="7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</row>
    <row r="3" customFormat="false" ht="18.65" hidden="false" customHeight="false" outlineLevel="0" collapsed="false">
      <c r="A3" s="7" t="s">
        <v>16</v>
      </c>
      <c r="B3" s="1" t="s">
        <v>23</v>
      </c>
      <c r="C3" s="1" t="s">
        <v>24</v>
      </c>
      <c r="D3" s="1" t="s">
        <v>19</v>
      </c>
      <c r="E3" s="1" t="s">
        <v>25</v>
      </c>
      <c r="F3" s="1" t="s">
        <v>21</v>
      </c>
      <c r="G3" s="1" t="s">
        <v>22</v>
      </c>
    </row>
    <row r="4" customFormat="false" ht="18.65" hidden="false" customHeight="false" outlineLevel="0" collapsed="false">
      <c r="A4" s="7" t="s">
        <v>16</v>
      </c>
      <c r="B4" s="1" t="s">
        <v>26</v>
      </c>
      <c r="C4" s="1" t="s">
        <v>27</v>
      </c>
      <c r="D4" s="1" t="s">
        <v>19</v>
      </c>
      <c r="E4" s="1" t="s">
        <v>25</v>
      </c>
      <c r="F4" s="1" t="s">
        <v>21</v>
      </c>
      <c r="G4" s="1" t="s">
        <v>22</v>
      </c>
    </row>
    <row r="5" customFormat="false" ht="18.65" hidden="false" customHeight="false" outlineLevel="0" collapsed="false">
      <c r="A5" s="7" t="s">
        <v>16</v>
      </c>
      <c r="B5" s="1" t="s">
        <v>28</v>
      </c>
      <c r="C5" s="1" t="s">
        <v>29</v>
      </c>
      <c r="D5" s="1" t="s">
        <v>30</v>
      </c>
      <c r="E5" s="1" t="s">
        <v>25</v>
      </c>
      <c r="F5" s="1" t="s">
        <v>21</v>
      </c>
      <c r="G5" s="1" t="s">
        <v>22</v>
      </c>
    </row>
    <row r="6" customFormat="false" ht="18.65" hidden="false" customHeight="false" outlineLevel="0" collapsed="false">
      <c r="A6" s="7" t="s">
        <v>16</v>
      </c>
      <c r="B6" s="1" t="s">
        <v>31</v>
      </c>
      <c r="C6" s="1" t="s">
        <v>32</v>
      </c>
      <c r="D6" s="1" t="s">
        <v>30</v>
      </c>
      <c r="E6" s="1" t="s">
        <v>25</v>
      </c>
      <c r="F6" s="1" t="s">
        <v>21</v>
      </c>
      <c r="G6" s="1" t="s">
        <v>22</v>
      </c>
    </row>
    <row r="7" customFormat="false" ht="18.65" hidden="false" customHeight="false" outlineLevel="0" collapsed="false">
      <c r="A7" s="7" t="s">
        <v>16</v>
      </c>
      <c r="B7" s="1" t="s">
        <v>33</v>
      </c>
      <c r="C7" s="1" t="s">
        <v>34</v>
      </c>
      <c r="D7" s="1" t="s">
        <v>30</v>
      </c>
      <c r="E7" s="1" t="s">
        <v>25</v>
      </c>
      <c r="F7" s="1" t="s">
        <v>21</v>
      </c>
      <c r="G7" s="1" t="s">
        <v>22</v>
      </c>
    </row>
    <row r="8" customFormat="false" ht="18.65" hidden="false" customHeight="false" outlineLevel="0" collapsed="false">
      <c r="A8" s="7" t="s">
        <v>16</v>
      </c>
      <c r="B8" s="1" t="s">
        <v>35</v>
      </c>
      <c r="C8" s="1" t="s">
        <v>36</v>
      </c>
      <c r="D8" s="1" t="s">
        <v>37</v>
      </c>
      <c r="E8" s="1" t="s">
        <v>38</v>
      </c>
      <c r="F8" s="1" t="s">
        <v>21</v>
      </c>
      <c r="G8" s="1" t="s">
        <v>39</v>
      </c>
      <c r="H8" s="1" t="s">
        <v>40</v>
      </c>
    </row>
    <row r="9" customFormat="false" ht="18.65" hidden="false" customHeight="false" outlineLevel="0" collapsed="false">
      <c r="A9" s="7" t="s">
        <v>16</v>
      </c>
      <c r="B9" s="1" t="s">
        <v>41</v>
      </c>
      <c r="C9" s="1" t="s">
        <v>42</v>
      </c>
      <c r="D9" s="1" t="s">
        <v>37</v>
      </c>
      <c r="E9" s="1" t="s">
        <v>38</v>
      </c>
      <c r="F9" s="1" t="s">
        <v>21</v>
      </c>
      <c r="G9" s="1" t="s">
        <v>22</v>
      </c>
    </row>
    <row r="10" customFormat="false" ht="18.65" hidden="false" customHeight="false" outlineLevel="0" collapsed="false">
      <c r="A10" s="7" t="s">
        <v>16</v>
      </c>
      <c r="B10" s="1" t="s">
        <v>43</v>
      </c>
      <c r="C10" s="1" t="s">
        <v>44</v>
      </c>
      <c r="D10" s="1" t="s">
        <v>37</v>
      </c>
      <c r="E10" s="1" t="s">
        <v>38</v>
      </c>
      <c r="F10" s="1" t="s">
        <v>21</v>
      </c>
      <c r="G10" s="1" t="s">
        <v>22</v>
      </c>
    </row>
    <row r="11" customFormat="false" ht="18.65" hidden="false" customHeight="false" outlineLevel="0" collapsed="false">
      <c r="A11" s="7" t="s">
        <v>16</v>
      </c>
      <c r="B11" s="1" t="s">
        <v>45</v>
      </c>
      <c r="C11" s="1" t="s">
        <v>46</v>
      </c>
      <c r="D11" s="1" t="s">
        <v>37</v>
      </c>
      <c r="E11" s="1" t="s">
        <v>38</v>
      </c>
      <c r="F11" s="1" t="s">
        <v>21</v>
      </c>
      <c r="G11" s="1" t="s">
        <v>22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" activeCellId="0" sqref="G1"/>
    </sheetView>
  </sheetViews>
  <sheetFormatPr defaultColWidth="11.53515625" defaultRowHeight="17.35" zeroHeight="false" outlineLevelRow="0" outlineLevelCol="0"/>
  <cols>
    <col collapsed="false" customWidth="true" hidden="false" outlineLevel="0" max="1" min="1" style="1" width="14.86"/>
    <col collapsed="false" customWidth="true" hidden="false" outlineLevel="0" max="2" min="2" style="1" width="22.79"/>
    <col collapsed="false" customWidth="true" hidden="false" outlineLevel="0" max="3" min="3" style="1" width="112.12"/>
    <col collapsed="false" customWidth="true" hidden="false" outlineLevel="0" max="4" min="4" style="1" width="13.89"/>
    <col collapsed="false" customWidth="true" hidden="false" outlineLevel="0" max="5" min="5" style="1" width="17.36"/>
    <col collapsed="false" customWidth="true" hidden="false" outlineLevel="0" max="6" min="6" style="1" width="26.13"/>
    <col collapsed="false" customWidth="true" hidden="false" outlineLevel="0" max="7" min="7" style="1" width="21.11"/>
    <col collapsed="false" customWidth="false" hidden="false" outlineLevel="0" max="9" min="8" style="1" width="11.52"/>
    <col collapsed="false" customWidth="true" hidden="false" outlineLevel="0" max="10" min="10" style="1" width="16.67"/>
    <col collapsed="false" customWidth="false" hidden="false" outlineLevel="0" max="1023" min="11" style="1" width="11.52"/>
  </cols>
  <sheetData>
    <row r="1" customFormat="false" ht="17.35" hidden="false" customHeight="false" outlineLevel="0" collapsed="false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2"/>
      <c r="J1" s="2"/>
      <c r="K1" s="2"/>
      <c r="L1" s="2"/>
      <c r="M1" s="2"/>
      <c r="N1" s="2"/>
      <c r="O1" s="2"/>
      <c r="P1" s="2"/>
    </row>
    <row r="2" customFormat="false" ht="17.35" hidden="false" customHeight="false" outlineLevel="0" collapsed="false">
      <c r="A2" s="1" t="s">
        <v>47</v>
      </c>
      <c r="B2" s="1" t="s">
        <v>48</v>
      </c>
      <c r="C2" s="1" t="s">
        <v>49</v>
      </c>
      <c r="D2" s="1" t="s">
        <v>19</v>
      </c>
      <c r="E2" s="1" t="s">
        <v>20</v>
      </c>
      <c r="F2" s="1" t="s">
        <v>50</v>
      </c>
      <c r="G2" s="1" t="s">
        <v>51</v>
      </c>
      <c r="I2" s="7"/>
      <c r="J2" s="7"/>
    </row>
    <row r="3" customFormat="false" ht="17.35" hidden="false" customHeight="false" outlineLevel="0" collapsed="false">
      <c r="I3" s="7"/>
      <c r="J3" s="7"/>
    </row>
    <row r="4" customFormat="false" ht="17.35" hidden="false" customHeight="false" outlineLevel="0" collapsed="false">
      <c r="A4" s="1" t="s">
        <v>47</v>
      </c>
      <c r="B4" s="1" t="s">
        <v>52</v>
      </c>
      <c r="C4" s="1" t="s">
        <v>53</v>
      </c>
      <c r="D4" s="1" t="s">
        <v>30</v>
      </c>
      <c r="E4" s="1" t="s">
        <v>25</v>
      </c>
      <c r="F4" s="1" t="s">
        <v>50</v>
      </c>
      <c r="G4" s="1" t="s">
        <v>51</v>
      </c>
    </row>
    <row r="5" customFormat="false" ht="17.35" hidden="false" customHeight="false" outlineLevel="0" collapsed="false">
      <c r="A5" s="1" t="s">
        <v>47</v>
      </c>
      <c r="B5" s="1" t="s">
        <v>54</v>
      </c>
      <c r="C5" s="1" t="s">
        <v>55</v>
      </c>
      <c r="D5" s="1" t="s">
        <v>30</v>
      </c>
      <c r="E5" s="1" t="s">
        <v>25</v>
      </c>
      <c r="F5" s="1" t="s">
        <v>50</v>
      </c>
      <c r="G5" s="1" t="s">
        <v>51</v>
      </c>
    </row>
    <row r="6" customFormat="false" ht="17.35" hidden="false" customHeight="false" outlineLevel="0" collapsed="false">
      <c r="A6" s="1" t="s">
        <v>47</v>
      </c>
      <c r="B6" s="1" t="s">
        <v>56</v>
      </c>
      <c r="C6" s="1" t="s">
        <v>57</v>
      </c>
      <c r="D6" s="1" t="s">
        <v>30</v>
      </c>
      <c r="E6" s="1" t="s">
        <v>25</v>
      </c>
      <c r="F6" s="1" t="s">
        <v>50</v>
      </c>
      <c r="G6" s="1" t="s">
        <v>51</v>
      </c>
    </row>
    <row r="7" customFormat="false" ht="17.35" hidden="false" customHeight="false" outlineLevel="0" collapsed="false">
      <c r="A7" s="1" t="s">
        <v>47</v>
      </c>
      <c r="B7" s="1" t="s">
        <v>58</v>
      </c>
      <c r="C7" s="1" t="s">
        <v>59</v>
      </c>
      <c r="D7" s="1" t="s">
        <v>30</v>
      </c>
      <c r="E7" s="1" t="s">
        <v>25</v>
      </c>
      <c r="F7" s="1" t="s">
        <v>50</v>
      </c>
      <c r="G7" s="1" t="s">
        <v>51</v>
      </c>
    </row>
    <row r="8" customFormat="false" ht="17.35" hidden="false" customHeight="false" outlineLevel="0" collapsed="false">
      <c r="A8" s="1" t="s">
        <v>47</v>
      </c>
      <c r="B8" s="1" t="s">
        <v>60</v>
      </c>
      <c r="C8" s="1" t="s">
        <v>61</v>
      </c>
      <c r="D8" s="1" t="s">
        <v>30</v>
      </c>
      <c r="E8" s="1" t="s">
        <v>25</v>
      </c>
      <c r="F8" s="1" t="s">
        <v>50</v>
      </c>
      <c r="G8" s="1" t="s">
        <v>51</v>
      </c>
    </row>
    <row r="9" customFormat="false" ht="17.35" hidden="false" customHeight="false" outlineLevel="0" collapsed="false">
      <c r="A9" s="1" t="s">
        <v>47</v>
      </c>
      <c r="B9" s="1" t="s">
        <v>62</v>
      </c>
      <c r="C9" s="1" t="s">
        <v>63</v>
      </c>
      <c r="D9" s="1" t="s">
        <v>30</v>
      </c>
      <c r="E9" s="1" t="s">
        <v>25</v>
      </c>
      <c r="F9" s="1" t="s">
        <v>50</v>
      </c>
      <c r="G9" s="1" t="s">
        <v>51</v>
      </c>
    </row>
    <row r="10" customFormat="false" ht="17.35" hidden="false" customHeight="false" outlineLevel="0" collapsed="false">
      <c r="A10" s="1" t="s">
        <v>47</v>
      </c>
      <c r="B10" s="1" t="s">
        <v>64</v>
      </c>
      <c r="C10" s="1" t="s">
        <v>65</v>
      </c>
      <c r="D10" s="1" t="s">
        <v>30</v>
      </c>
      <c r="E10" s="1" t="s">
        <v>25</v>
      </c>
      <c r="F10" s="1" t="s">
        <v>50</v>
      </c>
      <c r="G10" s="1" t="s">
        <v>51</v>
      </c>
    </row>
    <row r="12" customFormat="false" ht="17.35" hidden="false" customHeight="false" outlineLevel="0" collapsed="false">
      <c r="A12" s="1" t="s">
        <v>47</v>
      </c>
      <c r="B12" s="1" t="s">
        <v>66</v>
      </c>
      <c r="C12" s="1" t="s">
        <v>67</v>
      </c>
      <c r="D12" s="1" t="s">
        <v>37</v>
      </c>
      <c r="E12" s="1" t="s">
        <v>38</v>
      </c>
      <c r="F12" s="1" t="s">
        <v>50</v>
      </c>
      <c r="G12" s="1" t="s">
        <v>51</v>
      </c>
    </row>
    <row r="13" customFormat="false" ht="17.35" hidden="false" customHeight="false" outlineLevel="0" collapsed="false">
      <c r="A13" s="1" t="s">
        <v>47</v>
      </c>
      <c r="B13" s="1" t="s">
        <v>68</v>
      </c>
      <c r="C13" s="1" t="s">
        <v>69</v>
      </c>
      <c r="D13" s="1" t="s">
        <v>37</v>
      </c>
      <c r="E13" s="1" t="s">
        <v>38</v>
      </c>
      <c r="F13" s="1" t="s">
        <v>50</v>
      </c>
      <c r="G13" s="1" t="s">
        <v>51</v>
      </c>
    </row>
    <row r="14" customFormat="false" ht="17.35" hidden="false" customHeight="false" outlineLevel="0" collapsed="false">
      <c r="A14" s="1" t="s">
        <v>47</v>
      </c>
      <c r="B14" s="1" t="s">
        <v>70</v>
      </c>
      <c r="C14" s="1" t="s">
        <v>71</v>
      </c>
      <c r="D14" s="1" t="s">
        <v>37</v>
      </c>
      <c r="E14" s="1" t="s">
        <v>38</v>
      </c>
      <c r="F14" s="1" t="s">
        <v>50</v>
      </c>
      <c r="G14" s="1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2026-02-23T14:18:07Z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